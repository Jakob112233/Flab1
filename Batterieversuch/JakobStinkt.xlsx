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rielwolf/Downloads/"/>
    </mc:Choice>
  </mc:AlternateContent>
  <xr:revisionPtr revIDLastSave="0" documentId="8_{09378398-FFED-AF40-8589-FADA27038EDB}" xr6:coauthVersionLast="47" xr6:coauthVersionMax="47" xr10:uidLastSave="{00000000-0000-0000-0000-000000000000}"/>
  <bookViews>
    <workbookView xWindow="580" yWindow="740" windowWidth="28240" windowHeight="17160" xr2:uid="{37CC19A6-2760-8042-B01E-9DAAA3911DF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9" i="1" l="1"/>
  <c r="I50" i="1"/>
  <c r="F49" i="1"/>
  <c r="F50" i="1"/>
  <c r="I48" i="1"/>
  <c r="F48" i="1"/>
  <c r="I47" i="1"/>
  <c r="F47" i="1"/>
  <c r="I46" i="1"/>
  <c r="F46" i="1"/>
  <c r="I45" i="1"/>
  <c r="F45" i="1"/>
  <c r="I44" i="1"/>
  <c r="F44" i="1"/>
  <c r="I43" i="1"/>
  <c r="F43" i="1"/>
  <c r="I42" i="1"/>
  <c r="F42" i="1"/>
  <c r="I41" i="1"/>
  <c r="F41" i="1"/>
  <c r="I40" i="1"/>
  <c r="F40" i="1"/>
  <c r="I39" i="1"/>
  <c r="F39" i="1"/>
  <c r="I38" i="1"/>
  <c r="F38" i="1"/>
  <c r="I37" i="1"/>
  <c r="F37" i="1"/>
  <c r="I36" i="1"/>
  <c r="F36" i="1"/>
  <c r="I35" i="1"/>
  <c r="F35" i="1"/>
  <c r="I34" i="1"/>
  <c r="F34" i="1"/>
  <c r="I33" i="1"/>
  <c r="F33" i="1"/>
  <c r="I32" i="1"/>
  <c r="F32" i="1"/>
  <c r="I31" i="1"/>
  <c r="I30" i="1"/>
  <c r="I22" i="1"/>
  <c r="F22" i="1"/>
  <c r="I21" i="1"/>
  <c r="F21" i="1"/>
  <c r="I20" i="1"/>
  <c r="F20" i="1"/>
  <c r="I19" i="1"/>
  <c r="F19" i="1"/>
  <c r="I18" i="1"/>
  <c r="F18" i="1"/>
  <c r="I17" i="1"/>
  <c r="F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F5" i="1"/>
  <c r="F6" i="1"/>
  <c r="F7" i="1"/>
  <c r="F8" i="1"/>
  <c r="F9" i="1"/>
  <c r="F10" i="1"/>
  <c r="F11" i="1"/>
  <c r="F12" i="1"/>
  <c r="F13" i="1"/>
  <c r="F14" i="1"/>
  <c r="F15" i="1"/>
  <c r="F16" i="1"/>
  <c r="F4" i="1"/>
  <c r="K49" i="1" l="1"/>
  <c r="O29" i="1" s="1"/>
  <c r="K45" i="1"/>
  <c r="K31" i="1"/>
  <c r="K35" i="1"/>
  <c r="K47" i="1"/>
  <c r="K33" i="1"/>
  <c r="K41" i="1"/>
  <c r="K43" i="1"/>
  <c r="K39" i="1"/>
  <c r="K37" i="1"/>
  <c r="K21" i="1"/>
  <c r="K19" i="1"/>
  <c r="K17" i="1"/>
  <c r="K15" i="1"/>
  <c r="K13" i="1"/>
  <c r="K11" i="1"/>
  <c r="K9" i="1"/>
  <c r="K7" i="1"/>
  <c r="K5" i="1"/>
  <c r="O6" i="1" s="1"/>
</calcChain>
</file>

<file path=xl/sharedStrings.xml><?xml version="1.0" encoding="utf-8"?>
<sst xmlns="http://schemas.openxmlformats.org/spreadsheetml/2006/main" count="78" uniqueCount="31">
  <si>
    <t>Zkylus</t>
  </si>
  <si>
    <t>Base</t>
  </si>
  <si>
    <t>Heiz</t>
  </si>
  <si>
    <t>Entladung</t>
  </si>
  <si>
    <t>R / Ohm</t>
  </si>
  <si>
    <t>Start / s</t>
  </si>
  <si>
    <t>Stopp / s</t>
  </si>
  <si>
    <t>Start T / °C</t>
  </si>
  <si>
    <t>Ende T/ °C</t>
  </si>
  <si>
    <t>dT/dt</t>
  </si>
  <si>
    <t>dT_korrek</t>
  </si>
  <si>
    <t>Q Int(I)</t>
  </si>
  <si>
    <t>w Int(U*I)</t>
  </si>
  <si>
    <t>mit Fooooooooooooooooooooormel</t>
  </si>
  <si>
    <t>dt / s</t>
  </si>
  <si>
    <t>dT_mess / °C</t>
  </si>
  <si>
    <t>Prog</t>
  </si>
  <si>
    <t>C_cal</t>
  </si>
  <si>
    <t>Akku Zelle</t>
  </si>
  <si>
    <t>I/A</t>
  </si>
  <si>
    <t>U/V</t>
  </si>
  <si>
    <t>1.5V</t>
  </si>
  <si>
    <t>USI</t>
  </si>
  <si>
    <t>A: 0.004</t>
  </si>
  <si>
    <t>V: 0.002</t>
  </si>
  <si>
    <t>T: 0.005</t>
  </si>
  <si>
    <t>erster HP</t>
  </si>
  <si>
    <t>zweiter HP</t>
  </si>
  <si>
    <t>Batterie Zelle</t>
  </si>
  <si>
    <t>C_Cal</t>
  </si>
  <si>
    <t>erster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</si>
</sst>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2" fontId="0" fillId="2" borderId="0" xfId="0" applyNumberFormat="1" applyFill="1"/>
    <xf numFmtId="2" fontId="0" fillId="3" borderId="0" xfId="0" applyNumberFormat="1" applyFill="1"/>
    <xf numFmtId="2" fontId="0" fillId="4" borderId="0" xfId="0" applyNumberFormat="1" applyFill="1"/>
    <xf numFmtId="2" fontId="0" fillId="5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5B3A8"/>
      <color rgb="FFFA83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4D4AF-0A47-284C-994C-45E84DB634EE}">
  <dimension ref="A1:T51"/>
  <sheetViews>
    <sheetView tabSelected="1" zoomScale="92" workbookViewId="0">
      <selection activeCell="E25" sqref="E25"/>
    </sheetView>
  </sheetViews>
  <sheetFormatPr baseColWidth="10" defaultRowHeight="16" x14ac:dyDescent="0.2"/>
  <cols>
    <col min="1" max="1" width="14.6640625" customWidth="1"/>
    <col min="9" max="9" width="11.6640625" customWidth="1"/>
  </cols>
  <sheetData>
    <row r="1" spans="1:20" x14ac:dyDescent="0.2">
      <c r="J1" t="s">
        <v>16</v>
      </c>
      <c r="K1" t="s">
        <v>13</v>
      </c>
    </row>
    <row r="2" spans="1:20" x14ac:dyDescent="0.2">
      <c r="A2" s="1" t="s">
        <v>18</v>
      </c>
      <c r="B2" s="1" t="s">
        <v>0</v>
      </c>
      <c r="C2" s="1" t="s">
        <v>4</v>
      </c>
      <c r="D2" s="1" t="s">
        <v>5</v>
      </c>
      <c r="E2" s="1" t="s">
        <v>6</v>
      </c>
      <c r="F2" s="1" t="s">
        <v>14</v>
      </c>
      <c r="G2" s="1" t="s">
        <v>7</v>
      </c>
      <c r="H2" s="1" t="s">
        <v>8</v>
      </c>
      <c r="I2" s="1" t="s">
        <v>15</v>
      </c>
      <c r="J2" s="1" t="s">
        <v>9</v>
      </c>
      <c r="K2" s="1" t="s">
        <v>10</v>
      </c>
      <c r="L2" s="1" t="s">
        <v>11</v>
      </c>
      <c r="M2" s="1" t="s">
        <v>12</v>
      </c>
      <c r="N2" s="1"/>
      <c r="O2" s="1" t="s">
        <v>17</v>
      </c>
      <c r="P2" s="1"/>
      <c r="Q2" s="1"/>
      <c r="R2" t="s">
        <v>19</v>
      </c>
      <c r="S2" t="s">
        <v>20</v>
      </c>
      <c r="T2" s="1" t="s">
        <v>22</v>
      </c>
    </row>
    <row r="3" spans="1:20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20" x14ac:dyDescent="0.2">
      <c r="A4" s="5"/>
      <c r="B4" s="5" t="s">
        <v>1</v>
      </c>
      <c r="C4" s="1"/>
      <c r="D4" s="1">
        <v>0</v>
      </c>
      <c r="E4" s="1">
        <v>600</v>
      </c>
      <c r="F4" s="1">
        <f>E4-D4</f>
        <v>600</v>
      </c>
      <c r="G4" s="1">
        <v>19.2</v>
      </c>
      <c r="H4" s="1">
        <v>19.2</v>
      </c>
      <c r="I4" s="1">
        <f>H4-G4</f>
        <v>0</v>
      </c>
      <c r="J4" s="1">
        <v>2.03E-4</v>
      </c>
      <c r="K4" s="1"/>
      <c r="L4" s="1"/>
      <c r="M4" s="1"/>
      <c r="N4" s="1"/>
      <c r="O4" s="1"/>
      <c r="P4" s="1"/>
      <c r="Q4" s="1"/>
      <c r="T4" t="s">
        <v>23</v>
      </c>
    </row>
    <row r="5" spans="1:20" x14ac:dyDescent="0.2">
      <c r="A5" s="5"/>
      <c r="B5" s="5" t="s">
        <v>2</v>
      </c>
      <c r="C5" s="1"/>
      <c r="D5" s="1">
        <v>600</v>
      </c>
      <c r="E5" s="1">
        <v>800</v>
      </c>
      <c r="F5" s="1">
        <f t="shared" ref="F5:F16" si="0">E5-D5</f>
        <v>200</v>
      </c>
      <c r="G5" s="1">
        <v>19.2</v>
      </c>
      <c r="H5" s="1">
        <v>19.8</v>
      </c>
      <c r="I5" s="1">
        <f t="shared" ref="I5:I16" si="1">H5-G5</f>
        <v>0.60000000000000142</v>
      </c>
      <c r="J5" s="1"/>
      <c r="K5" s="1">
        <f>I5-(J4+J6)*(F5/2)</f>
        <v>0.56910000000000138</v>
      </c>
      <c r="L5" s="1"/>
      <c r="M5" s="1"/>
      <c r="N5" s="1"/>
      <c r="O5" s="1"/>
      <c r="P5" s="1"/>
      <c r="Q5" s="1"/>
      <c r="R5">
        <v>1.07</v>
      </c>
      <c r="S5" t="s">
        <v>21</v>
      </c>
      <c r="T5" t="s">
        <v>24</v>
      </c>
    </row>
    <row r="6" spans="1:20" x14ac:dyDescent="0.2">
      <c r="A6" s="5"/>
      <c r="B6" s="5" t="s">
        <v>1</v>
      </c>
      <c r="C6" s="1"/>
      <c r="D6" s="1">
        <v>800</v>
      </c>
      <c r="E6" s="1">
        <v>1300</v>
      </c>
      <c r="F6" s="1">
        <f t="shared" si="0"/>
        <v>500</v>
      </c>
      <c r="G6" s="1">
        <v>19.8</v>
      </c>
      <c r="H6" s="1">
        <v>19.7</v>
      </c>
      <c r="I6" s="1">
        <f t="shared" si="1"/>
        <v>-0.10000000000000142</v>
      </c>
      <c r="J6" s="1">
        <v>1.06E-4</v>
      </c>
      <c r="K6" s="1"/>
      <c r="L6" s="1"/>
      <c r="M6" s="1"/>
      <c r="N6" s="1"/>
      <c r="O6" s="1">
        <f>1.5*1.07*200/K5</f>
        <v>564.04849762783203</v>
      </c>
      <c r="P6" s="1" t="s">
        <v>26</v>
      </c>
      <c r="Q6" s="1"/>
      <c r="T6" t="s">
        <v>25</v>
      </c>
    </row>
    <row r="7" spans="1:20" x14ac:dyDescent="0.2">
      <c r="A7" s="2">
        <v>1</v>
      </c>
      <c r="B7" s="3" t="s">
        <v>3</v>
      </c>
      <c r="C7" s="1">
        <v>10.1</v>
      </c>
      <c r="D7" s="1">
        <v>1300</v>
      </c>
      <c r="E7" s="1">
        <v>1900</v>
      </c>
      <c r="F7" s="1">
        <f t="shared" si="0"/>
        <v>600</v>
      </c>
      <c r="G7" s="1">
        <v>19.7</v>
      </c>
      <c r="H7" s="1">
        <v>19.899999999999999</v>
      </c>
      <c r="I7" s="1">
        <f t="shared" si="1"/>
        <v>0.19999999999999929</v>
      </c>
      <c r="J7" s="1"/>
      <c r="K7" s="1">
        <f>I7-(J6+J8)*(F7/2)</f>
        <v>0.16819999999999929</v>
      </c>
      <c r="L7" s="1"/>
      <c r="M7" s="1"/>
      <c r="N7" s="1"/>
      <c r="O7" s="1">
        <v>887.34</v>
      </c>
      <c r="P7" s="1" t="s">
        <v>27</v>
      </c>
      <c r="Q7" s="1"/>
    </row>
    <row r="8" spans="1:20" x14ac:dyDescent="0.2">
      <c r="A8" s="2">
        <v>1</v>
      </c>
      <c r="B8" s="4" t="s">
        <v>1</v>
      </c>
      <c r="C8" s="1"/>
      <c r="D8" s="1">
        <v>1900</v>
      </c>
      <c r="E8" s="1">
        <v>2500</v>
      </c>
      <c r="F8" s="1">
        <f t="shared" si="0"/>
        <v>600</v>
      </c>
      <c r="G8" s="1">
        <v>19.899999999999999</v>
      </c>
      <c r="H8" s="1">
        <v>20</v>
      </c>
      <c r="I8" s="1">
        <f t="shared" si="1"/>
        <v>0.10000000000000142</v>
      </c>
      <c r="J8" s="1"/>
      <c r="K8" s="1"/>
      <c r="L8" s="1"/>
      <c r="M8" s="1"/>
      <c r="N8" s="1"/>
      <c r="O8" s="1"/>
      <c r="P8" s="1"/>
      <c r="Q8" s="1"/>
    </row>
    <row r="9" spans="1:20" x14ac:dyDescent="0.2">
      <c r="A9" s="2">
        <v>2</v>
      </c>
      <c r="B9" s="3" t="s">
        <v>3</v>
      </c>
      <c r="C9" s="1">
        <v>8.6</v>
      </c>
      <c r="D9" s="1">
        <v>2500</v>
      </c>
      <c r="E9" s="1">
        <v>3100</v>
      </c>
      <c r="F9" s="1">
        <f t="shared" si="0"/>
        <v>600</v>
      </c>
      <c r="G9" s="1">
        <v>20</v>
      </c>
      <c r="H9" s="1">
        <v>20.100000000000001</v>
      </c>
      <c r="I9" s="1">
        <f t="shared" si="1"/>
        <v>0.10000000000000142</v>
      </c>
      <c r="J9" s="1"/>
      <c r="K9" s="1">
        <f>I9-(J8+J10)*(F9/2)</f>
        <v>0.10000000000000142</v>
      </c>
      <c r="L9" s="1"/>
      <c r="M9" s="1"/>
      <c r="N9" s="1"/>
      <c r="O9" s="1"/>
      <c r="P9" s="1"/>
      <c r="Q9" s="1"/>
    </row>
    <row r="10" spans="1:20" x14ac:dyDescent="0.2">
      <c r="A10" s="2">
        <v>2</v>
      </c>
      <c r="B10" s="4" t="s">
        <v>1</v>
      </c>
      <c r="C10" s="1"/>
      <c r="D10" s="1">
        <v>3100</v>
      </c>
      <c r="E10" s="1">
        <v>3700</v>
      </c>
      <c r="F10" s="1">
        <f t="shared" si="0"/>
        <v>600</v>
      </c>
      <c r="G10" s="1">
        <v>20.100000000000001</v>
      </c>
      <c r="H10" s="1">
        <v>20.100000000000001</v>
      </c>
      <c r="I10" s="1">
        <f t="shared" si="1"/>
        <v>0</v>
      </c>
      <c r="J10" s="1"/>
      <c r="K10" s="1"/>
      <c r="L10" s="1"/>
      <c r="M10" s="1"/>
      <c r="N10" s="1"/>
      <c r="O10" s="1"/>
      <c r="P10" s="1"/>
      <c r="Q10" s="1"/>
    </row>
    <row r="11" spans="1:20" x14ac:dyDescent="0.2">
      <c r="A11" s="2">
        <v>3</v>
      </c>
      <c r="B11" s="3" t="s">
        <v>3</v>
      </c>
      <c r="C11" s="1">
        <v>7.4</v>
      </c>
      <c r="D11" s="1">
        <v>3700</v>
      </c>
      <c r="E11" s="1">
        <v>4300</v>
      </c>
      <c r="F11" s="1">
        <f t="shared" si="0"/>
        <v>600</v>
      </c>
      <c r="G11" s="1">
        <v>20.100000000000001</v>
      </c>
      <c r="H11" s="1">
        <v>20.3</v>
      </c>
      <c r="I11" s="1">
        <f t="shared" si="1"/>
        <v>0.19999999999999929</v>
      </c>
      <c r="J11" s="1"/>
      <c r="K11" s="1">
        <f>I11-(J10+J12)*(F11/2)</f>
        <v>0.19999999999999929</v>
      </c>
      <c r="L11" s="1"/>
      <c r="M11" s="1"/>
      <c r="N11" s="1"/>
      <c r="O11" s="1"/>
      <c r="P11" s="1"/>
      <c r="Q11" s="1"/>
    </row>
    <row r="12" spans="1:20" x14ac:dyDescent="0.2">
      <c r="A12" s="2">
        <v>3</v>
      </c>
      <c r="B12" s="4" t="s">
        <v>1</v>
      </c>
      <c r="C12" s="1"/>
      <c r="D12" s="1">
        <v>4300</v>
      </c>
      <c r="E12" s="1">
        <v>4900</v>
      </c>
      <c r="F12" s="1">
        <f t="shared" si="0"/>
        <v>600</v>
      </c>
      <c r="G12" s="1">
        <v>20.3</v>
      </c>
      <c r="H12" s="1">
        <v>20.3</v>
      </c>
      <c r="I12" s="1">
        <f t="shared" si="1"/>
        <v>0</v>
      </c>
      <c r="J12" s="1"/>
      <c r="K12" s="1"/>
      <c r="L12" s="1"/>
      <c r="M12" s="1"/>
      <c r="N12" s="1"/>
      <c r="O12" s="1"/>
      <c r="P12" s="1"/>
      <c r="Q12" s="1"/>
    </row>
    <row r="13" spans="1:20" x14ac:dyDescent="0.2">
      <c r="A13" s="2">
        <v>4</v>
      </c>
      <c r="B13" s="3" t="s">
        <v>3</v>
      </c>
      <c r="C13" s="1">
        <v>6.1</v>
      </c>
      <c r="D13" s="1">
        <v>4900</v>
      </c>
      <c r="E13" s="1">
        <v>5300</v>
      </c>
      <c r="F13" s="1">
        <f t="shared" si="0"/>
        <v>400</v>
      </c>
      <c r="G13" s="1">
        <v>20.3</v>
      </c>
      <c r="H13" s="1">
        <v>20.5</v>
      </c>
      <c r="I13" s="1">
        <f t="shared" si="1"/>
        <v>0.19999999999999929</v>
      </c>
      <c r="J13" s="1"/>
      <c r="K13" s="1">
        <f>I13-(J12+J14)*(F13/2)</f>
        <v>0.19999999999999929</v>
      </c>
      <c r="L13" s="1"/>
      <c r="M13" s="1"/>
      <c r="N13" s="1"/>
      <c r="O13" s="1"/>
      <c r="P13" s="1"/>
      <c r="Q13" s="1"/>
    </row>
    <row r="14" spans="1:20" x14ac:dyDescent="0.2">
      <c r="A14" s="2">
        <v>4</v>
      </c>
      <c r="B14" s="4" t="s">
        <v>1</v>
      </c>
      <c r="C14" s="1"/>
      <c r="D14" s="1">
        <v>5300</v>
      </c>
      <c r="E14" s="1">
        <v>5900</v>
      </c>
      <c r="F14" s="1">
        <f t="shared" si="0"/>
        <v>600</v>
      </c>
      <c r="G14" s="1">
        <v>20.5</v>
      </c>
      <c r="H14" s="1">
        <v>20.5</v>
      </c>
      <c r="I14" s="1">
        <f t="shared" si="1"/>
        <v>0</v>
      </c>
      <c r="J14" s="1"/>
      <c r="K14" s="1"/>
      <c r="L14" s="1"/>
      <c r="M14" s="1"/>
      <c r="N14" s="1"/>
      <c r="O14" s="1"/>
      <c r="P14" s="1"/>
      <c r="Q14" s="1"/>
    </row>
    <row r="15" spans="1:20" x14ac:dyDescent="0.2">
      <c r="A15" s="2">
        <v>5</v>
      </c>
      <c r="B15" s="3" t="s">
        <v>3</v>
      </c>
      <c r="C15" s="1">
        <v>4.8</v>
      </c>
      <c r="D15" s="1">
        <v>5900</v>
      </c>
      <c r="E15" s="1">
        <v>6300</v>
      </c>
      <c r="F15" s="1">
        <f t="shared" si="0"/>
        <v>400</v>
      </c>
      <c r="G15" s="1">
        <v>20.5</v>
      </c>
      <c r="H15" s="1">
        <v>20.7</v>
      </c>
      <c r="I15" s="1">
        <f t="shared" si="1"/>
        <v>0.19999999999999929</v>
      </c>
      <c r="J15" s="1"/>
      <c r="K15" s="1">
        <f>I15-(J14+J16)*(F15/2)</f>
        <v>0.19999999999999929</v>
      </c>
      <c r="L15" s="1"/>
      <c r="M15" s="1"/>
      <c r="N15" s="1"/>
      <c r="O15" s="1"/>
      <c r="P15" s="1"/>
      <c r="Q15" s="1"/>
    </row>
    <row r="16" spans="1:20" x14ac:dyDescent="0.2">
      <c r="A16" s="2">
        <v>5</v>
      </c>
      <c r="B16" s="4" t="s">
        <v>1</v>
      </c>
      <c r="C16" s="1"/>
      <c r="D16" s="1">
        <v>6300</v>
      </c>
      <c r="E16" s="1">
        <v>6900</v>
      </c>
      <c r="F16" s="1">
        <f t="shared" si="0"/>
        <v>600</v>
      </c>
      <c r="G16" s="1">
        <v>20.7</v>
      </c>
      <c r="H16" s="1">
        <v>20.7</v>
      </c>
      <c r="I16" s="1">
        <f t="shared" si="1"/>
        <v>0</v>
      </c>
      <c r="J16" s="1"/>
      <c r="K16" s="1"/>
      <c r="L16" s="1"/>
      <c r="M16" s="1"/>
      <c r="N16" s="1"/>
      <c r="O16" s="1"/>
      <c r="P16" s="1"/>
      <c r="Q16" s="1"/>
    </row>
    <row r="17" spans="1:17" x14ac:dyDescent="0.2">
      <c r="A17" s="2">
        <v>6</v>
      </c>
      <c r="B17" s="3" t="s">
        <v>3</v>
      </c>
      <c r="C17" s="1">
        <v>3.5</v>
      </c>
      <c r="D17" s="1">
        <v>6900</v>
      </c>
      <c r="E17" s="1">
        <v>7200</v>
      </c>
      <c r="F17" s="1">
        <f t="shared" ref="F17:F22" si="2">E17-D17</f>
        <v>300</v>
      </c>
      <c r="G17" s="1">
        <v>20.7</v>
      </c>
      <c r="H17" s="1">
        <v>20.9</v>
      </c>
      <c r="I17" s="1">
        <f t="shared" ref="I17:I22" si="3">H17-G17</f>
        <v>0.19999999999999929</v>
      </c>
      <c r="J17" s="1"/>
      <c r="K17" s="1">
        <f>I17-(J16+J18)*(F17/2)</f>
        <v>0.19999999999999929</v>
      </c>
      <c r="L17" s="1"/>
      <c r="M17" s="1"/>
      <c r="N17" s="1"/>
      <c r="O17" s="1"/>
      <c r="P17" s="1"/>
      <c r="Q17" s="1"/>
    </row>
    <row r="18" spans="1:17" x14ac:dyDescent="0.2">
      <c r="A18" s="2">
        <v>6</v>
      </c>
      <c r="B18" s="4" t="s">
        <v>1</v>
      </c>
      <c r="C18" s="1"/>
      <c r="D18" s="1">
        <v>7200</v>
      </c>
      <c r="E18" s="1">
        <v>7800</v>
      </c>
      <c r="F18" s="1">
        <f t="shared" si="2"/>
        <v>600</v>
      </c>
      <c r="G18" s="1">
        <v>20.9</v>
      </c>
      <c r="H18" s="1">
        <v>20.9</v>
      </c>
      <c r="I18" s="1">
        <f t="shared" si="3"/>
        <v>0</v>
      </c>
      <c r="J18" s="1"/>
      <c r="K18" s="1"/>
      <c r="L18" s="1"/>
      <c r="M18" s="1"/>
      <c r="N18" s="1"/>
      <c r="O18" s="1"/>
      <c r="P18" s="1"/>
      <c r="Q18" s="1"/>
    </row>
    <row r="19" spans="1:17" x14ac:dyDescent="0.2">
      <c r="A19" s="2">
        <v>7</v>
      </c>
      <c r="B19" s="3" t="s">
        <v>3</v>
      </c>
      <c r="C19" s="1">
        <v>2.2999999999999998</v>
      </c>
      <c r="D19" s="1">
        <v>7800</v>
      </c>
      <c r="E19" s="1">
        <v>8000</v>
      </c>
      <c r="F19" s="1">
        <f t="shared" si="2"/>
        <v>200</v>
      </c>
      <c r="G19" s="1">
        <v>20.9</v>
      </c>
      <c r="H19" s="1">
        <v>21.1</v>
      </c>
      <c r="I19" s="1">
        <f t="shared" si="3"/>
        <v>0.20000000000000284</v>
      </c>
      <c r="J19" s="1"/>
      <c r="K19" s="1">
        <f>I19-(J18+J20)*(F19/2)</f>
        <v>0.20000000000000284</v>
      </c>
      <c r="L19" s="1"/>
      <c r="M19" s="1"/>
      <c r="N19" s="1"/>
      <c r="O19" s="1"/>
      <c r="P19" s="1"/>
      <c r="Q19" s="1"/>
    </row>
    <row r="20" spans="1:17" x14ac:dyDescent="0.2">
      <c r="A20" s="2">
        <v>7</v>
      </c>
      <c r="B20" s="4" t="s">
        <v>1</v>
      </c>
      <c r="C20" s="1"/>
      <c r="D20" s="1">
        <v>8000</v>
      </c>
      <c r="E20" s="1">
        <v>8600</v>
      </c>
      <c r="F20" s="1">
        <f t="shared" si="2"/>
        <v>600</v>
      </c>
      <c r="G20" s="1">
        <v>21.1</v>
      </c>
      <c r="H20" s="1">
        <v>21.2</v>
      </c>
      <c r="I20" s="1">
        <f t="shared" si="3"/>
        <v>9.9999999999997868E-2</v>
      </c>
      <c r="J20" s="1"/>
      <c r="K20" s="1"/>
      <c r="L20" s="1"/>
      <c r="M20" s="1"/>
      <c r="N20" s="1"/>
      <c r="O20" s="1"/>
      <c r="P20" s="1"/>
      <c r="Q20" s="1"/>
    </row>
    <row r="21" spans="1:17" x14ac:dyDescent="0.2">
      <c r="A21" s="2">
        <v>8</v>
      </c>
      <c r="B21" s="3" t="s">
        <v>3</v>
      </c>
      <c r="C21" s="1">
        <v>1</v>
      </c>
      <c r="D21" s="1">
        <v>8600</v>
      </c>
      <c r="E21" s="1">
        <v>8750</v>
      </c>
      <c r="F21" s="1">
        <f t="shared" si="2"/>
        <v>150</v>
      </c>
      <c r="G21" s="1">
        <v>21.2</v>
      </c>
      <c r="H21" s="1">
        <v>21.5</v>
      </c>
      <c r="I21" s="1">
        <f t="shared" si="3"/>
        <v>0.30000000000000071</v>
      </c>
      <c r="J21" s="1"/>
      <c r="K21" s="1">
        <f>I21-(J20+J22)*(F21/2)</f>
        <v>0.30000000000000071</v>
      </c>
      <c r="L21" s="1"/>
      <c r="M21" s="1"/>
      <c r="N21" s="1"/>
      <c r="O21" s="1"/>
      <c r="P21" s="1"/>
      <c r="Q21" s="1"/>
    </row>
    <row r="22" spans="1:17" x14ac:dyDescent="0.2">
      <c r="A22" s="2">
        <v>8</v>
      </c>
      <c r="B22" s="4" t="s">
        <v>1</v>
      </c>
      <c r="C22" s="1"/>
      <c r="D22" s="1">
        <v>8750</v>
      </c>
      <c r="E22" s="1">
        <v>9350</v>
      </c>
      <c r="F22" s="1">
        <f t="shared" si="2"/>
        <v>600</v>
      </c>
      <c r="G22" s="1">
        <v>21.5</v>
      </c>
      <c r="H22" s="1">
        <v>21.6</v>
      </c>
      <c r="I22" s="1">
        <f t="shared" si="3"/>
        <v>0.10000000000000142</v>
      </c>
      <c r="J22" s="1"/>
      <c r="K22" s="1"/>
      <c r="L22" s="1"/>
      <c r="M22" s="1"/>
      <c r="N22" s="1"/>
      <c r="O22" s="1"/>
      <c r="P22" s="1"/>
      <c r="Q22" s="1"/>
    </row>
    <row r="23" spans="1:17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8" spans="1:17" x14ac:dyDescent="0.2">
      <c r="A28" s="1" t="s">
        <v>28</v>
      </c>
      <c r="B28" s="1" t="s">
        <v>0</v>
      </c>
      <c r="C28" s="1" t="s">
        <v>4</v>
      </c>
      <c r="D28" s="1" t="s">
        <v>5</v>
      </c>
      <c r="E28" s="1" t="s">
        <v>6</v>
      </c>
      <c r="F28" s="1" t="s">
        <v>14</v>
      </c>
      <c r="G28" s="1" t="s">
        <v>7</v>
      </c>
      <c r="H28" s="1" t="s">
        <v>8</v>
      </c>
      <c r="I28" s="1" t="s">
        <v>15</v>
      </c>
      <c r="J28" s="1" t="s">
        <v>9</v>
      </c>
      <c r="K28" s="1" t="s">
        <v>10</v>
      </c>
      <c r="L28" s="1" t="s">
        <v>11</v>
      </c>
      <c r="M28" s="1" t="s">
        <v>12</v>
      </c>
      <c r="O28" s="1" t="s">
        <v>29</v>
      </c>
    </row>
    <row r="29" spans="1:17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O29">
        <f>1.5*1.07*200/K49</f>
        <v>820.97186700766815</v>
      </c>
      <c r="P29" t="s">
        <v>30</v>
      </c>
    </row>
    <row r="30" spans="1:17" x14ac:dyDescent="0.2">
      <c r="A30" s="5"/>
      <c r="B30" s="5"/>
      <c r="C30" s="1"/>
      <c r="D30" s="1"/>
      <c r="E30" s="1"/>
      <c r="F30" s="1"/>
      <c r="G30" s="1"/>
      <c r="H30" s="1"/>
      <c r="I30" s="1">
        <f>H30-G30</f>
        <v>0</v>
      </c>
      <c r="J30" s="1">
        <v>2.03E-4</v>
      </c>
      <c r="K30" s="1"/>
      <c r="L30" s="1"/>
      <c r="M30" s="1"/>
    </row>
    <row r="31" spans="1:17" x14ac:dyDescent="0.2">
      <c r="A31" s="5"/>
      <c r="B31" s="5"/>
      <c r="C31" s="1"/>
      <c r="D31" s="1"/>
      <c r="E31" s="1"/>
      <c r="F31" s="1"/>
      <c r="G31" s="1"/>
      <c r="H31" s="1"/>
      <c r="I31" s="1">
        <f t="shared" ref="I31:I50" si="4">H31-G31</f>
        <v>0</v>
      </c>
      <c r="J31" s="1"/>
      <c r="K31" s="1">
        <f>I31-(J30+J32)*(F31/2)</f>
        <v>0</v>
      </c>
      <c r="L31" s="1"/>
      <c r="M31" s="1"/>
    </row>
    <row r="32" spans="1:17" x14ac:dyDescent="0.2">
      <c r="A32" s="5"/>
      <c r="B32" s="5" t="s">
        <v>1</v>
      </c>
      <c r="C32" s="1"/>
      <c r="D32" s="1">
        <v>0</v>
      </c>
      <c r="E32" s="1">
        <v>600</v>
      </c>
      <c r="F32" s="1">
        <f t="shared" ref="F32:F50" si="5">E32-D32</f>
        <v>600</v>
      </c>
      <c r="G32" s="1">
        <v>21.4</v>
      </c>
      <c r="H32" s="1">
        <v>21.3</v>
      </c>
      <c r="I32" s="1">
        <f t="shared" si="4"/>
        <v>-9.9999999999997868E-2</v>
      </c>
      <c r="J32" s="1">
        <v>1.06E-4</v>
      </c>
      <c r="K32" s="1"/>
      <c r="L32" s="1"/>
      <c r="M32" s="1"/>
    </row>
    <row r="33" spans="1:13" x14ac:dyDescent="0.2">
      <c r="A33" s="2">
        <v>1</v>
      </c>
      <c r="B33" s="3" t="s">
        <v>3</v>
      </c>
      <c r="C33" s="1">
        <v>20</v>
      </c>
      <c r="D33" s="1">
        <v>600</v>
      </c>
      <c r="E33" s="1">
        <v>1400</v>
      </c>
      <c r="F33" s="1">
        <f t="shared" si="5"/>
        <v>800</v>
      </c>
      <c r="G33" s="1">
        <v>21.3</v>
      </c>
      <c r="H33" s="1">
        <v>21.4</v>
      </c>
      <c r="I33" s="1">
        <f t="shared" si="4"/>
        <v>9.9999999999997868E-2</v>
      </c>
      <c r="J33" s="1"/>
      <c r="K33" s="1">
        <f>I33-(J32+J34)*(F33/2)</f>
        <v>5.7599999999997868E-2</v>
      </c>
      <c r="L33" s="1"/>
      <c r="M33" s="1"/>
    </row>
    <row r="34" spans="1:13" x14ac:dyDescent="0.2">
      <c r="A34" s="2">
        <v>1</v>
      </c>
      <c r="B34" s="4" t="s">
        <v>1</v>
      </c>
      <c r="C34" s="1"/>
      <c r="D34" s="1">
        <v>1400</v>
      </c>
      <c r="E34" s="1">
        <v>2000</v>
      </c>
      <c r="F34" s="1">
        <f t="shared" si="5"/>
        <v>600</v>
      </c>
      <c r="G34" s="1">
        <v>21.4</v>
      </c>
      <c r="H34" s="1">
        <v>21.4</v>
      </c>
      <c r="I34" s="1">
        <f t="shared" si="4"/>
        <v>0</v>
      </c>
      <c r="J34" s="1"/>
      <c r="K34" s="1"/>
      <c r="L34" s="1"/>
      <c r="M34" s="1"/>
    </row>
    <row r="35" spans="1:13" x14ac:dyDescent="0.2">
      <c r="A35" s="2">
        <v>2</v>
      </c>
      <c r="B35" s="3" t="s">
        <v>3</v>
      </c>
      <c r="C35" s="1">
        <v>17</v>
      </c>
      <c r="D35" s="1">
        <v>2000</v>
      </c>
      <c r="E35" s="1">
        <v>2800</v>
      </c>
      <c r="F35" s="1">
        <f t="shared" si="5"/>
        <v>800</v>
      </c>
      <c r="G35" s="1">
        <v>21.4</v>
      </c>
      <c r="H35" s="1">
        <v>21.5</v>
      </c>
      <c r="I35" s="1">
        <f t="shared" si="4"/>
        <v>0.10000000000000142</v>
      </c>
      <c r="J35" s="1"/>
      <c r="K35" s="1">
        <f>I35-(J34+J36)*(F35/2)</f>
        <v>0.10000000000000142</v>
      </c>
      <c r="L35" s="1"/>
      <c r="M35" s="1"/>
    </row>
    <row r="36" spans="1:13" x14ac:dyDescent="0.2">
      <c r="A36" s="2">
        <v>2</v>
      </c>
      <c r="B36" s="4" t="s">
        <v>1</v>
      </c>
      <c r="C36" s="1"/>
      <c r="D36" s="1">
        <v>2800</v>
      </c>
      <c r="E36" s="1">
        <v>3200</v>
      </c>
      <c r="F36" s="1">
        <f t="shared" si="5"/>
        <v>400</v>
      </c>
      <c r="G36" s="1">
        <v>21.5</v>
      </c>
      <c r="H36" s="1">
        <v>21.5</v>
      </c>
      <c r="I36" s="1">
        <f t="shared" si="4"/>
        <v>0</v>
      </c>
      <c r="J36" s="1"/>
      <c r="K36" s="1"/>
      <c r="L36" s="1"/>
      <c r="M36" s="1"/>
    </row>
    <row r="37" spans="1:13" x14ac:dyDescent="0.2">
      <c r="A37" s="2">
        <v>3</v>
      </c>
      <c r="B37" s="3" t="s">
        <v>3</v>
      </c>
      <c r="C37" s="1">
        <v>14</v>
      </c>
      <c r="D37" s="1">
        <v>3200</v>
      </c>
      <c r="E37" s="1">
        <v>3800</v>
      </c>
      <c r="F37" s="1">
        <f t="shared" si="5"/>
        <v>600</v>
      </c>
      <c r="G37" s="1">
        <v>21.5</v>
      </c>
      <c r="H37" s="1">
        <v>21.6</v>
      </c>
      <c r="I37" s="1">
        <f t="shared" si="4"/>
        <v>0.10000000000000142</v>
      </c>
      <c r="J37" s="1"/>
      <c r="K37" s="1">
        <f>I37-(J36+J38)*(F37/2)</f>
        <v>0.10000000000000142</v>
      </c>
      <c r="L37" s="1"/>
      <c r="M37" s="1"/>
    </row>
    <row r="38" spans="1:13" x14ac:dyDescent="0.2">
      <c r="A38" s="2">
        <v>3</v>
      </c>
      <c r="B38" s="4" t="s">
        <v>1</v>
      </c>
      <c r="C38" s="1"/>
      <c r="D38" s="1">
        <v>3800</v>
      </c>
      <c r="E38" s="1">
        <v>4200</v>
      </c>
      <c r="F38" s="1">
        <f t="shared" si="5"/>
        <v>400</v>
      </c>
      <c r="G38" s="1">
        <v>21.6</v>
      </c>
      <c r="H38" s="1">
        <v>21.6</v>
      </c>
      <c r="I38" s="1">
        <f t="shared" si="4"/>
        <v>0</v>
      </c>
      <c r="J38" s="1"/>
      <c r="K38" s="1"/>
      <c r="L38" s="1"/>
      <c r="M38" s="1"/>
    </row>
    <row r="39" spans="1:13" x14ac:dyDescent="0.2">
      <c r="A39" s="2">
        <v>4</v>
      </c>
      <c r="B39" s="3" t="s">
        <v>3</v>
      </c>
      <c r="C39" s="1">
        <v>11</v>
      </c>
      <c r="D39" s="1">
        <v>4200</v>
      </c>
      <c r="E39" s="1">
        <v>4800</v>
      </c>
      <c r="F39" s="1">
        <f t="shared" si="5"/>
        <v>600</v>
      </c>
      <c r="G39" s="1">
        <v>21.6</v>
      </c>
      <c r="H39" s="1">
        <v>21.8</v>
      </c>
      <c r="I39" s="1">
        <f t="shared" si="4"/>
        <v>0.19999999999999929</v>
      </c>
      <c r="J39" s="1"/>
      <c r="K39" s="1">
        <f>I39-(J38+J40)*(F39/2)</f>
        <v>0.19999999999999929</v>
      </c>
      <c r="L39" s="1"/>
      <c r="M39" s="1"/>
    </row>
    <row r="40" spans="1:13" x14ac:dyDescent="0.2">
      <c r="A40" s="2">
        <v>4</v>
      </c>
      <c r="B40" s="4" t="s">
        <v>1</v>
      </c>
      <c r="C40" s="1"/>
      <c r="D40" s="1">
        <v>4800</v>
      </c>
      <c r="E40" s="1">
        <v>5200</v>
      </c>
      <c r="F40" s="1">
        <f t="shared" si="5"/>
        <v>400</v>
      </c>
      <c r="G40" s="1">
        <v>21.8</v>
      </c>
      <c r="H40" s="1">
        <v>21.7</v>
      </c>
      <c r="I40" s="1">
        <f t="shared" si="4"/>
        <v>-0.10000000000000142</v>
      </c>
      <c r="J40" s="1"/>
      <c r="K40" s="1"/>
      <c r="L40" s="1"/>
      <c r="M40" s="1"/>
    </row>
    <row r="41" spans="1:13" x14ac:dyDescent="0.2">
      <c r="A41" s="2">
        <v>5</v>
      </c>
      <c r="B41" s="3" t="s">
        <v>3</v>
      </c>
      <c r="C41" s="1">
        <v>8</v>
      </c>
      <c r="D41" s="1">
        <v>5200</v>
      </c>
      <c r="E41" s="1">
        <v>5600</v>
      </c>
      <c r="F41" s="1">
        <f t="shared" si="5"/>
        <v>400</v>
      </c>
      <c r="G41" s="1">
        <v>21.7</v>
      </c>
      <c r="H41" s="1">
        <v>21.9</v>
      </c>
      <c r="I41" s="1">
        <f t="shared" si="4"/>
        <v>0.19999999999999929</v>
      </c>
      <c r="J41" s="1"/>
      <c r="K41" s="1">
        <f>I41-(J40+J42)*(F41/2)</f>
        <v>0.19999999999999929</v>
      </c>
      <c r="L41" s="1"/>
      <c r="M41" s="1"/>
    </row>
    <row r="42" spans="1:13" x14ac:dyDescent="0.2">
      <c r="A42" s="2">
        <v>5</v>
      </c>
      <c r="B42" s="4" t="s">
        <v>1</v>
      </c>
      <c r="C42" s="1"/>
      <c r="D42" s="1">
        <v>5600</v>
      </c>
      <c r="E42" s="1">
        <v>6000</v>
      </c>
      <c r="F42" s="1">
        <f t="shared" si="5"/>
        <v>400</v>
      </c>
      <c r="G42" s="1">
        <v>21.9</v>
      </c>
      <c r="H42" s="1">
        <v>21.9</v>
      </c>
      <c r="I42" s="1">
        <f t="shared" si="4"/>
        <v>0</v>
      </c>
      <c r="J42" s="1"/>
      <c r="K42" s="1"/>
      <c r="L42" s="1"/>
      <c r="M42" s="1"/>
    </row>
    <row r="43" spans="1:13" x14ac:dyDescent="0.2">
      <c r="A43" s="2">
        <v>6</v>
      </c>
      <c r="B43" s="3" t="s">
        <v>3</v>
      </c>
      <c r="C43" s="1">
        <v>5</v>
      </c>
      <c r="D43" s="1">
        <v>6000</v>
      </c>
      <c r="E43" s="1">
        <v>6300</v>
      </c>
      <c r="F43" s="1">
        <f t="shared" si="5"/>
        <v>300</v>
      </c>
      <c r="G43" s="1">
        <v>21.9</v>
      </c>
      <c r="H43" s="1">
        <v>22.1</v>
      </c>
      <c r="I43" s="1">
        <f t="shared" si="4"/>
        <v>0.20000000000000284</v>
      </c>
      <c r="J43" s="1"/>
      <c r="K43" s="1">
        <f>I43-(J42+J44)*(F43/2)</f>
        <v>0.20000000000000284</v>
      </c>
      <c r="L43" s="1"/>
      <c r="M43" s="1"/>
    </row>
    <row r="44" spans="1:13" x14ac:dyDescent="0.2">
      <c r="A44" s="2">
        <v>6</v>
      </c>
      <c r="B44" s="4" t="s">
        <v>1</v>
      </c>
      <c r="C44" s="1"/>
      <c r="D44" s="1">
        <v>6300</v>
      </c>
      <c r="E44" s="1">
        <v>6700</v>
      </c>
      <c r="F44" s="1">
        <f t="shared" si="5"/>
        <v>400</v>
      </c>
      <c r="G44" s="1">
        <v>22.1</v>
      </c>
      <c r="H44" s="1">
        <v>22.1</v>
      </c>
      <c r="I44" s="1">
        <f t="shared" si="4"/>
        <v>0</v>
      </c>
      <c r="J44" s="1"/>
      <c r="K44" s="1"/>
      <c r="L44" s="1"/>
      <c r="M44" s="1"/>
    </row>
    <row r="45" spans="1:13" x14ac:dyDescent="0.2">
      <c r="A45" s="2">
        <v>7</v>
      </c>
      <c r="B45" s="3" t="s">
        <v>3</v>
      </c>
      <c r="C45" s="1">
        <v>3</v>
      </c>
      <c r="D45" s="1">
        <v>6700</v>
      </c>
      <c r="E45" s="1">
        <v>6840</v>
      </c>
      <c r="F45" s="1">
        <f t="shared" si="5"/>
        <v>140</v>
      </c>
      <c r="G45" s="1">
        <v>22.1</v>
      </c>
      <c r="H45" s="1">
        <v>22.4</v>
      </c>
      <c r="I45" s="1">
        <f t="shared" si="4"/>
        <v>0.29999999999999716</v>
      </c>
      <c r="J45" s="1"/>
      <c r="K45" s="1">
        <f>I45-(J44+J46)*(F45/2)</f>
        <v>0.29999999999999716</v>
      </c>
      <c r="L45" s="1"/>
      <c r="M45" s="1"/>
    </row>
    <row r="46" spans="1:13" x14ac:dyDescent="0.2">
      <c r="A46" s="2">
        <v>7</v>
      </c>
      <c r="B46" s="4" t="s">
        <v>1</v>
      </c>
      <c r="C46" s="1"/>
      <c r="D46" s="1">
        <v>6840</v>
      </c>
      <c r="E46" s="1">
        <v>7240</v>
      </c>
      <c r="F46" s="1">
        <f t="shared" si="5"/>
        <v>400</v>
      </c>
      <c r="G46" s="1">
        <v>22.4</v>
      </c>
      <c r="H46" s="1">
        <v>22.4</v>
      </c>
      <c r="I46" s="1">
        <f t="shared" si="4"/>
        <v>0</v>
      </c>
      <c r="J46" s="1"/>
      <c r="K46" s="1"/>
      <c r="L46" s="1"/>
      <c r="M46" s="1"/>
    </row>
    <row r="47" spans="1:13" x14ac:dyDescent="0.2">
      <c r="A47" s="2">
        <v>8</v>
      </c>
      <c r="B47" s="3" t="s">
        <v>3</v>
      </c>
      <c r="C47" s="1">
        <v>1</v>
      </c>
      <c r="D47" s="1">
        <v>7240</v>
      </c>
      <c r="E47" s="1">
        <v>7350</v>
      </c>
      <c r="F47" s="1">
        <f t="shared" si="5"/>
        <v>110</v>
      </c>
      <c r="G47" s="1">
        <v>22.4</v>
      </c>
      <c r="H47" s="1">
        <v>22.8</v>
      </c>
      <c r="I47" s="1">
        <f t="shared" si="4"/>
        <v>0.40000000000000213</v>
      </c>
      <c r="J47" s="1"/>
      <c r="K47" s="1">
        <f>I47-(J46+J48)*(F47/2)</f>
        <v>0.40990000000000215</v>
      </c>
      <c r="L47" s="1"/>
      <c r="M47" s="1"/>
    </row>
    <row r="48" spans="1:13" x14ac:dyDescent="0.2">
      <c r="A48" s="2">
        <v>8</v>
      </c>
      <c r="B48" s="4" t="s">
        <v>1</v>
      </c>
      <c r="C48" s="1"/>
      <c r="D48" s="1">
        <v>7350</v>
      </c>
      <c r="E48" s="1">
        <v>7750</v>
      </c>
      <c r="F48" s="1">
        <f t="shared" si="5"/>
        <v>400</v>
      </c>
      <c r="G48" s="1">
        <v>22.8</v>
      </c>
      <c r="H48" s="1">
        <v>22.7</v>
      </c>
      <c r="I48" s="1">
        <f t="shared" si="4"/>
        <v>-0.10000000000000142</v>
      </c>
      <c r="J48" s="1">
        <v>-1.8000000000000001E-4</v>
      </c>
      <c r="K48" s="1"/>
      <c r="L48" s="1"/>
      <c r="M48" s="1"/>
    </row>
    <row r="49" spans="1:13" x14ac:dyDescent="0.2">
      <c r="A49" s="1"/>
      <c r="B49" s="1" t="s">
        <v>2</v>
      </c>
      <c r="C49" s="1"/>
      <c r="D49" s="1">
        <v>7750</v>
      </c>
      <c r="E49" s="1">
        <v>7950</v>
      </c>
      <c r="F49" s="1">
        <f t="shared" si="5"/>
        <v>200</v>
      </c>
      <c r="G49" s="1">
        <v>22.7</v>
      </c>
      <c r="H49" s="1">
        <v>23.1</v>
      </c>
      <c r="I49" s="1">
        <f t="shared" si="4"/>
        <v>0.40000000000000213</v>
      </c>
      <c r="J49" s="1"/>
      <c r="K49" s="1">
        <f>I49-(J48+J50)*(F49/2)</f>
        <v>0.39100000000000212</v>
      </c>
      <c r="L49" s="1"/>
      <c r="M49" s="1"/>
    </row>
    <row r="50" spans="1:13" x14ac:dyDescent="0.2">
      <c r="A50" s="1"/>
      <c r="B50" s="1" t="s">
        <v>1</v>
      </c>
      <c r="C50" s="1"/>
      <c r="D50" s="1">
        <v>7950</v>
      </c>
      <c r="E50" s="1">
        <v>8350</v>
      </c>
      <c r="F50" s="1">
        <f t="shared" si="5"/>
        <v>400</v>
      </c>
      <c r="G50" s="1">
        <v>23.1</v>
      </c>
      <c r="H50" s="1">
        <v>23</v>
      </c>
      <c r="I50" s="1">
        <f t="shared" si="4"/>
        <v>-0.10000000000000142</v>
      </c>
      <c r="J50" s="1">
        <v>2.7E-4</v>
      </c>
      <c r="K50" s="1"/>
      <c r="L50" s="1"/>
      <c r="M50" s="1"/>
    </row>
    <row r="51" spans="1:13" x14ac:dyDescent="0.2">
      <c r="J51" s="1"/>
      <c r="K51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Wolf, Gabriel</dc:creator>
  <cp:lastModifiedBy>Wolf, Gabriel</cp:lastModifiedBy>
  <dcterms:created xsi:type="dcterms:W3CDTF">2025-11-25T11:05:57Z</dcterms:created>
  <dcterms:modified xsi:type="dcterms:W3CDTF">2025-12-10T08:08:44Z</dcterms:modified>
</cp:coreProperties>
</file>